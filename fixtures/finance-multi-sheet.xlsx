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venue" sheetId="1" r:id="rId1"/>
    <sheet name="Expenses" sheetId="2" r:id="rId2"/>
    <sheet name="Summary" sheetId="3" r:id="rId3"/>
    <sheet name="InternalNotes" sheetId="4" r:id="rId4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yyyy-mm-dd"/>
    <numFmt numFmtId="61" formatCode="$#,##0.00"/>
    <numFmt numFmtId="62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1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Month</v>
      </c>
      <c r="B1" t="str">
        <v>Product Revenue</v>
      </c>
      <c r="C1" t="str">
        <v>Services Revenue</v>
      </c>
      <c r="D1" t="str">
        <v>Growth</v>
      </c>
    </row>
    <row r="2">
      <c r="A2" t="str">
        <v>Jan</v>
      </c>
      <c r="B2" s="1">
        <v>120000</v>
      </c>
      <c r="C2" s="1">
        <v>45000</v>
      </c>
      <c r="D2" s="2">
        <v>0.05</v>
      </c>
    </row>
    <row r="3">
      <c r="A3" t="str">
        <v>Feb</v>
      </c>
      <c r="B3" s="1">
        <v>135000</v>
      </c>
      <c r="C3" s="1">
        <v>47000</v>
      </c>
      <c r="D3" s="2">
        <v>0.08</v>
      </c>
    </row>
    <row r="4">
      <c r="A4" t="str">
        <v>Mar</v>
      </c>
      <c r="B4" s="1">
        <v>150000</v>
      </c>
      <c r="C4" s="1">
        <v>52000</v>
      </c>
      <c r="D4" s="2">
        <v>0.11</v>
      </c>
    </row>
    <row r="5">
      <c r="A5" t="str">
        <v>Apr</v>
      </c>
      <c r="B5" s="1">
        <v>149000</v>
      </c>
      <c r="C5" s="1">
        <v>55500</v>
      </c>
      <c r="D5" s="2">
        <v>-0.01</v>
      </c>
    </row>
  </sheetData>
  <ignoredErrors>
    <ignoredError numberStoredAsText="1" sqref="A1:D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Category</v>
      </c>
      <c r="B1" t="str">
        <v>Q1 Budget</v>
      </c>
      <c r="C1" t="str">
        <v>Q1 Actual</v>
      </c>
      <c r="D1" t="str">
        <v>Variance</v>
      </c>
    </row>
    <row r="2">
      <c r="A2" t="str">
        <v>Payroll</v>
      </c>
      <c r="B2" s="1">
        <v>300000</v>
      </c>
      <c r="C2" s="1">
        <v>310250.5</v>
      </c>
      <c r="D2" s="1">
        <v>-10250.5</v>
      </c>
    </row>
    <row r="3">
      <c r="A3" t="str">
        <v>Marketing</v>
      </c>
      <c r="B3" s="1">
        <v>80000</v>
      </c>
      <c r="C3" s="1">
        <v>72300</v>
      </c>
      <c r="D3" s="1">
        <v>7700</v>
      </c>
    </row>
    <row r="4">
      <c r="A4" t="str">
        <v>Infrastructure</v>
      </c>
      <c r="B4" s="1">
        <v>45000</v>
      </c>
      <c r="C4" s="1">
        <v>47125.25</v>
      </c>
      <c r="D4" s="1">
        <v>-2125.25</v>
      </c>
    </row>
    <row r="5">
      <c r="A5" t="str">
        <v>Travel</v>
      </c>
      <c r="B5" s="1">
        <v>20000</v>
      </c>
      <c r="C5" s="1">
        <v>8990</v>
      </c>
      <c r="D5" s="1">
        <v>11010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Revenue</v>
      </c>
      <c r="B2" s="1">
        <f>SUM(Revenue!B2:C5)</f>
        <v>753500</v>
      </c>
    </row>
    <row r="3">
      <c r="A3" t="str">
        <v>Total Expenses</v>
      </c>
      <c r="B3" s="1">
        <f>SUM(Expenses!C2:C5)</f>
        <v>438665.75</v>
      </c>
    </row>
    <row r="4">
      <c r="A4" t="str">
        <v>Net</v>
      </c>
      <c r="B4" s="1">
        <f>B2-B3</f>
        <v>314834.25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Internal</v>
      </c>
      <c r="B1" t="str">
        <v>Do not distribute</v>
      </c>
    </row>
    <row r="2">
      <c r="A2" t="str">
        <v>Draft v3</v>
      </c>
      <c r="B2" t="b">
        <v>1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Revenue</vt:lpstr>
      <vt:lpstr>Expenses</vt:lpstr>
      <vt:lpstr>Summary</vt:lpstr>
      <vt:lpstr>InternalNotes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